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Dhruv Docs\Business Analyst\BFSI Project\"/>
    </mc:Choice>
  </mc:AlternateContent>
  <xr:revisionPtr revIDLastSave="0" documentId="8_{7BA4F332-89BB-4ACB-A59A-A94FA74BE7B2}" xr6:coauthVersionLast="47" xr6:coauthVersionMax="47" xr10:uidLastSave="{00000000-0000-0000-0000-000000000000}"/>
  <bookViews>
    <workbookView xWindow="-90" yWindow="-90" windowWidth="17460" windowHeight="10260" firstSheet="1" activeTab="1" xr2:uid="{6FC90BCE-F383-488D-8783-9532A1BE8881}"/>
  </bookViews>
  <sheets>
    <sheet name="Raw Data" sheetId="1" r:id="rId1"/>
    <sheet name="Monthly Trends" sheetId="2" r:id="rId2"/>
    <sheet name="Resolution Analysis" sheetId="3" r:id="rId3"/>
    <sheet name="Cost Benefit" sheetId="4" r:id="rId4"/>
    <sheet name="Dashboard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B14" i="1"/>
  <c r="O4" i="2"/>
  <c r="O3" i="2"/>
  <c r="O2" i="2"/>
</calcChain>
</file>

<file path=xl/sharedStrings.xml><?xml version="1.0" encoding="utf-8"?>
<sst xmlns="http://schemas.openxmlformats.org/spreadsheetml/2006/main" count="109" uniqueCount="105">
  <si>
    <t xml:space="preserve">Month </t>
  </si>
  <si>
    <t xml:space="preserve"> Disputes Filed </t>
  </si>
  <si>
    <t xml:space="preserve"> Fraud </t>
  </si>
  <si>
    <t xml:space="preserve"> Billing Error </t>
  </si>
  <si>
    <t xml:space="preserve"> Service Dispute </t>
  </si>
  <si>
    <t xml:space="preserve"> Resolved &lt;5 Days </t>
  </si>
  <si>
    <t xml:space="preserve"> Avg Resolution Days </t>
  </si>
  <si>
    <t xml:space="preserve"> Customer Satisfaction %</t>
  </si>
  <si>
    <t>Key Insight: Dispute volumes grew 38.9% from Jan-25 (3,420) to Dec-25 (4,750),</t>
  </si>
  <si>
    <t>indicating urgent need for scalable digital infrastructure. Peak months (Nov-Dec)</t>
  </si>
  <si>
    <t>align with holiday spending — automated routing will be critical during these periods.</t>
  </si>
  <si>
    <t>Dispute Type</t>
  </si>
  <si>
    <t>Total Volume</t>
  </si>
  <si>
    <t>% of Total</t>
  </si>
  <si>
    <t>Fraud</t>
  </si>
  <si>
    <t>Billing Error</t>
  </si>
  <si>
    <t>Service Dispute</t>
  </si>
  <si>
    <t>Key Insight: Fraud disputes represent 51.4% of all cases — the highest category.</t>
  </si>
  <si>
    <t>Rule-based auto-resolution will target low-value fraud disputes (&lt;$200)</t>
  </si>
  <si>
    <t>estimated to cover 40% of fraud volume, saving 3,740 agent hours annually.</t>
  </si>
  <si>
    <t>Month</t>
  </si>
  <si>
    <t>Avg Resolution Days</t>
  </si>
  <si>
    <t>FCAC Target (5 Days)</t>
  </si>
  <si>
    <t>Gap (Days Over Target)</t>
  </si>
  <si>
    <t>guideline by an average of 9.97 days — a 199% overshoot. This represents</t>
  </si>
  <si>
    <t>significant regulatory exposure. The proposed system targets full FCAC</t>
  </si>
  <si>
    <t>compliance within 6 months of go-live.</t>
  </si>
  <si>
    <t>Key Insight: Bank of Toronto consistently exceeds the FCAC 5-day resolution</t>
  </si>
  <si>
    <t>Satisfaction %</t>
  </si>
  <si>
    <t>Industry Benchmark</t>
  </si>
  <si>
    <t>Key Insight: Customer satisfaction for dispute resolution sits at 29–36%,</t>
  </si>
  <si>
    <t>versus an industry benchmark of 72%. This 38-point gap directly correlates</t>
  </si>
  <si>
    <t>with long resolution times and zero self-service capability. Post-implementation</t>
  </si>
  <si>
    <t>target: 68% satisfaction within 12 months.</t>
  </si>
  <si>
    <t>Cost Item</t>
  </si>
  <si>
    <t>Calculation</t>
  </si>
  <si>
    <t>Annual Cost (CAD)</t>
  </si>
  <si>
    <t>Contact centre handling</t>
  </si>
  <si>
    <t>45,000 disputes × $18.50/call × 3.2 repeat calls</t>
  </si>
  <si>
    <t>$2,664,000</t>
  </si>
  <si>
    <t>Manual back-office processing</t>
  </si>
  <si>
    <t>45,000 × 45 mins avg × $28/hr agent cost</t>
  </si>
  <si>
    <t>$945,000</t>
  </si>
  <si>
    <t>Late chargeback losses</t>
  </si>
  <si>
    <t>2% miss rate × 45,000 × $340 avg value</t>
  </si>
  <si>
    <t>$306,000</t>
  </si>
  <si>
    <t>FCAC compliance risk (estimated fine exposure)</t>
  </si>
  <si>
    <t>Based on 2024 FCAC enforcement precedents</t>
  </si>
  <si>
    <t>$500,000</t>
  </si>
  <si>
    <t>Agent training (high turnover due to complexity)</t>
  </si>
  <si>
    <t>12 agents × $8,200/yr</t>
  </si>
  <si>
    <t>$98,400</t>
  </si>
  <si>
    <t>TOTAL CURRENT STATE COST</t>
  </si>
  <si>
    <t>$4,513,400</t>
  </si>
  <si>
    <t>SECTION A — Current State Costs</t>
  </si>
  <si>
    <t>SECTION B — Proposed System Investment</t>
  </si>
  <si>
    <t>Investment Item</t>
  </si>
  <si>
    <t>Cost (CAD)</t>
  </si>
  <si>
    <t>Portal + workbench development</t>
  </si>
  <si>
    <t>$850,000</t>
  </si>
  <si>
    <t>Rule engine build + testing</t>
  </si>
  <si>
    <t>$280,000</t>
  </si>
  <si>
    <t>API integration (Visa/MC)</t>
  </si>
  <si>
    <t>$190,000</t>
  </si>
  <si>
    <t>Notification system</t>
  </si>
  <si>
    <t>$95,000</t>
  </si>
  <si>
    <t>Dashboard + reporting</t>
  </si>
  <si>
    <t>$120,000</t>
  </si>
  <si>
    <t>Training + change management</t>
  </si>
  <si>
    <t>$85,000</t>
  </si>
  <si>
    <t>Contingency (15%)</t>
  </si>
  <si>
    <t>$273,000</t>
  </si>
  <si>
    <t>TOTAL PROJECT INVESTMENT</t>
  </si>
  <si>
    <t>$1,893,000</t>
  </si>
  <si>
    <t>SECTION C — Future State Savings</t>
  </si>
  <si>
    <t>Saving Item</t>
  </si>
  <si>
    <t>Annual Saving (CAD)</t>
  </si>
  <si>
    <t>Reduced contact centre calls</t>
  </si>
  <si>
    <t>70% reduction in repeat calls</t>
  </si>
  <si>
    <t>Automated tier-1 resolution</t>
  </si>
  <si>
    <t>60% auto-resolved × $945,000</t>
  </si>
  <si>
    <t>Eliminated chargeback misses</t>
  </si>
  <si>
    <t>API ensures 100% on-time filing</t>
  </si>
  <si>
    <t>Reduced training costs</t>
  </si>
  <si>
    <t>Simpler system, 50% lower turnover</t>
  </si>
  <si>
    <t>TOTAL ANNUAL SAVINGS</t>
  </si>
  <si>
    <t>$2,787,000</t>
  </si>
  <si>
    <t>Total Project Investment:     $1,893,000</t>
  </si>
  <si>
    <t>Total Annual Savings:         $2,787,000</t>
  </si>
  <si>
    <t>Net Saving Year 1:            $894,000</t>
  </si>
  <si>
    <t>Payback Period:               8.1 months</t>
  </si>
  <si>
    <t>3-Year ROI:                   341%</t>
  </si>
  <si>
    <t>5-Year Net Benefit:           $12,042,000</t>
  </si>
  <si>
    <t>SECTION D — ROI Summary:</t>
  </si>
  <si>
    <t>CREDIT CARD DISPUTE RESOLUTION — ANALYTICS DASHBOARD</t>
  </si>
  <si>
    <t>Bank of Toronto | Portfolio Project | Dhruv Narang | April 2026</t>
  </si>
  <si>
    <t>Full Year Jan–Dec 2025</t>
  </si>
  <si>
    <t>15.0 days</t>
  </si>
  <si>
    <t>vs FCAC target: 5 days</t>
  </si>
  <si>
    <t>Target: 100% within 6 months</t>
  </si>
  <si>
    <t>vs industry benchmark: 72%</t>
  </si>
  <si>
    <t>Total Disputes 2025</t>
  </si>
  <si>
    <t>Avg Resolution Time</t>
  </si>
  <si>
    <t>FCAC Compliance</t>
  </si>
  <si>
    <t>Customer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</si>
</sst>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rgb="FFDC56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7" fontId="0" fillId="0" borderId="0" xfId="0" applyNumberFormat="1"/>
    <xf numFmtId="0" fontId="1" fillId="0" borderId="1" xfId="0" applyFont="1" applyBorder="1"/>
    <xf numFmtId="3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ill="1"/>
    <xf numFmtId="3" fontId="3" fillId="2" borderId="0" xfId="0" applyNumberFormat="1" applyFont="1" applyFill="1"/>
    <xf numFmtId="0" fontId="0" fillId="3" borderId="0" xfId="0" applyFill="1"/>
    <xf numFmtId="0" fontId="3" fillId="3" borderId="0" xfId="0" applyFont="1" applyFill="1"/>
    <xf numFmtId="0" fontId="0" fillId="2" borderId="0" xfId="0" applyFont="1" applyFill="1"/>
    <xf numFmtId="0" fontId="0" fillId="4" borderId="0" xfId="0" applyFill="1"/>
    <xf numFmtId="9" fontId="3" fillId="4" borderId="0" xfId="0" applyNumberFormat="1" applyFont="1" applyFill="1"/>
    <xf numFmtId="0" fontId="0" fillId="5" borderId="0" xfId="0" applyFill="1"/>
    <xf numFmtId="9" fontId="3" fillId="5" borderId="0" xfId="0" applyNumberFormat="1" applyFont="1" applyFill="1"/>
  </cellXfs>
  <cellStyles count="1">
    <cellStyle name="Normal" xfId="0" builtinId="0"/>
  </cellStyles>
  <dxfs count="5">
    <dxf>
      <numFmt numFmtId="22" formatCode="mmm/yy"/>
    </dxf>
    <dxf>
      <numFmt numFmtId="22" formatCode="mmm/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C5640"/>
      <color rgb="FFFFFF81"/>
      <color rgb="FF9F301D"/>
      <color rgb="FF7356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</a:t>
            </a:r>
            <a:r>
              <a:rPr lang="en-US" baseline="0"/>
              <a:t> Dispute Vol - Jan to Dec 2025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Trends'!$B$1</c:f>
              <c:strCache>
                <c:ptCount val="1"/>
                <c:pt idx="0">
                  <c:v> Disputes Filed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'Monthly Trends'!$A$2:$A$13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'Monthly Trends'!$B$2:$B$13</c:f>
              <c:numCache>
                <c:formatCode>General</c:formatCode>
                <c:ptCount val="12"/>
                <c:pt idx="0">
                  <c:v>3420</c:v>
                </c:pt>
                <c:pt idx="1">
                  <c:v>3180</c:v>
                </c:pt>
                <c:pt idx="2">
                  <c:v>3650</c:v>
                </c:pt>
                <c:pt idx="3">
                  <c:v>3890</c:v>
                </c:pt>
                <c:pt idx="4">
                  <c:v>3720</c:v>
                </c:pt>
                <c:pt idx="5">
                  <c:v>4100</c:v>
                </c:pt>
                <c:pt idx="6">
                  <c:v>4280</c:v>
                </c:pt>
                <c:pt idx="7">
                  <c:v>4150</c:v>
                </c:pt>
                <c:pt idx="8">
                  <c:v>3980</c:v>
                </c:pt>
                <c:pt idx="9">
                  <c:v>4320</c:v>
                </c:pt>
                <c:pt idx="10">
                  <c:v>4580</c:v>
                </c:pt>
                <c:pt idx="11">
                  <c:v>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8-4B06-A982-594C30853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155792"/>
        <c:axId val="1129444464"/>
      </c:lineChart>
      <c:dateAx>
        <c:axId val="92915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444464"/>
        <c:crosses val="autoZero"/>
        <c:auto val="1"/>
        <c:lblOffset val="100"/>
        <c:baseTimeUnit val="months"/>
      </c:dateAx>
      <c:valAx>
        <c:axId val="11294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15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Dispute Category Breakdown — Full Year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Trends'!$O$1</c:f>
              <c:strCache>
                <c:ptCount val="1"/>
                <c:pt idx="0">
                  <c:v>Total Volume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42-4301-9548-D4B6883DBA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42-4301-9548-D4B6883DB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42-4301-9548-D4B6883DBA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Trends'!$N$2:$N$4</c:f>
              <c:strCache>
                <c:ptCount val="3"/>
                <c:pt idx="0">
                  <c:v>Fraud</c:v>
                </c:pt>
                <c:pt idx="1">
                  <c:v>Billing Error</c:v>
                </c:pt>
                <c:pt idx="2">
                  <c:v>Service Dispute</c:v>
                </c:pt>
              </c:strCache>
            </c:strRef>
          </c:cat>
          <c:val>
            <c:numRef>
              <c:f>'Monthly Trends'!$O$2:$O$4</c:f>
              <c:numCache>
                <c:formatCode>#,##0</c:formatCode>
                <c:ptCount val="3"/>
                <c:pt idx="0">
                  <c:v>22650</c:v>
                </c:pt>
                <c:pt idx="1">
                  <c:v>16660</c:v>
                </c:pt>
                <c:pt idx="2">
                  <c:v>8710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4-4BF1-BD1C-B8D83E6339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Resolution Time vs FCAC 5-Day Target - 2025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'Resolution Analysis'!$B$1</c:f>
              <c:strCache>
                <c:ptCount val="1"/>
                <c:pt idx="0">
                  <c:v>Avg Resolution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'Resolution Analysis'!$A$2:$A$13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Analysis'!$B$2:$B$13</c:f>
              <c:numCache>
                <c:formatCode>General</c:formatCode>
                <c:ptCount val="12"/>
                <c:pt idx="0">
                  <c:v>15.2</c:v>
                </c:pt>
                <c:pt idx="1">
                  <c:v>14.8</c:v>
                </c:pt>
                <c:pt idx="2">
                  <c:v>14.5</c:v>
                </c:pt>
                <c:pt idx="3">
                  <c:v>14.9</c:v>
                </c:pt>
                <c:pt idx="4">
                  <c:v>15.1</c:v>
                </c:pt>
                <c:pt idx="5">
                  <c:v>14.7</c:v>
                </c:pt>
                <c:pt idx="6">
                  <c:v>15.3</c:v>
                </c:pt>
                <c:pt idx="7">
                  <c:v>14.6</c:v>
                </c:pt>
                <c:pt idx="8">
                  <c:v>14.8</c:v>
                </c:pt>
                <c:pt idx="9">
                  <c:v>15</c:v>
                </c:pt>
                <c:pt idx="10">
                  <c:v>15.4</c:v>
                </c:pt>
                <c:pt idx="11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9-4F30-AD05-BE3A3C722FFD}"/>
            </c:ext>
          </c:extLst>
        </c:ser>
        <c:ser>
          <c:idx val="1"/>
          <c:order val="1"/>
          <c:tx>
            <c:strRef>
              <c:f>'Resolution Analysis'!$C$1</c:f>
              <c:strCache>
                <c:ptCount val="1"/>
                <c:pt idx="0">
                  <c:v>FCAC Target (5 Days)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'Resolution Analysis'!$A$2:$A$13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Analysis'!$C$2:$C$13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9-4F30-AD05-BE3A3C722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78896"/>
        <c:axId val="219684656"/>
      </c:lineChart>
      <c:dateAx>
        <c:axId val="219678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84656"/>
        <c:crosses val="autoZero"/>
        <c:auto val="1"/>
        <c:lblOffset val="100"/>
        <c:baseTimeUnit val="months"/>
      </c:dateAx>
      <c:valAx>
        <c:axId val="21968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Satisfaction Score vs Industry Benchmark —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'Resolution Analysis'!$G$1</c:f>
              <c:strCache>
                <c:ptCount val="1"/>
                <c:pt idx="0">
                  <c:v>Satisfaction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'Resolution Analysis'!$F$2:$F$13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Analysis'!$G$2:$G$13</c:f>
              <c:numCache>
                <c:formatCode>General</c:formatCode>
                <c:ptCount val="12"/>
                <c:pt idx="0">
                  <c:v>34</c:v>
                </c:pt>
                <c:pt idx="1">
                  <c:v>36</c:v>
                </c:pt>
                <c:pt idx="2">
                  <c:v>35</c:v>
                </c:pt>
                <c:pt idx="3">
                  <c:v>33</c:v>
                </c:pt>
                <c:pt idx="4">
                  <c:v>34</c:v>
                </c:pt>
                <c:pt idx="5">
                  <c:v>32</c:v>
                </c:pt>
                <c:pt idx="6">
                  <c:v>31</c:v>
                </c:pt>
                <c:pt idx="7">
                  <c:v>33</c:v>
                </c:pt>
                <c:pt idx="8">
                  <c:v>34</c:v>
                </c:pt>
                <c:pt idx="9">
                  <c:v>32</c:v>
                </c:pt>
                <c:pt idx="10">
                  <c:v>30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5-4A14-BF37-C9E89E59B1B6}"/>
            </c:ext>
          </c:extLst>
        </c:ser>
        <c:ser>
          <c:idx val="1"/>
          <c:order val="1"/>
          <c:tx>
            <c:strRef>
              <c:f>'Resolution Analysis'!$H$1</c:f>
              <c:strCache>
                <c:ptCount val="1"/>
                <c:pt idx="0">
                  <c:v>Industry 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'Resolution Analysis'!$F$2:$F$13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Analysis'!$H$2:$H$13</c:f>
              <c:numCache>
                <c:formatCode>General</c:formatCode>
                <c:ptCount val="12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5-4A14-BF37-C9E89E59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70736"/>
        <c:axId val="219671216"/>
      </c:lineChart>
      <c:dateAx>
        <c:axId val="21967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1216"/>
        <c:crosses val="autoZero"/>
        <c:auto val="1"/>
        <c:lblOffset val="100"/>
        <c:baseTimeUnit val="months"/>
      </c:dateAx>
      <c:valAx>
        <c:axId val="2196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Projected Annual Savings by Category Post-Implementation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 Benefit'!$C$22</c:f>
              <c:strCache>
                <c:ptCount val="1"/>
                <c:pt idx="0">
                  <c:v>Annual Saving (CAD)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Benefit'!$A$23:$A$26</c:f>
              <c:strCache>
                <c:ptCount val="4"/>
                <c:pt idx="0">
                  <c:v>Reduced contact centre calls</c:v>
                </c:pt>
                <c:pt idx="1">
                  <c:v>Automated tier-1 resolution</c:v>
                </c:pt>
                <c:pt idx="2">
                  <c:v>Eliminated chargeback misses</c:v>
                </c:pt>
                <c:pt idx="3">
                  <c:v>Reduced training costs</c:v>
                </c:pt>
              </c:strCache>
            </c:strRef>
          </c:cat>
          <c:val>
            <c:numRef>
              <c:f>'Cost Benefit'!$C$23:$C$26</c:f>
              <c:numCache>
                <c:formatCode>General</c:formatCode>
                <c:ptCount val="4"/>
                <c:pt idx="0">
                  <c:v>1864800</c:v>
                </c:pt>
                <c:pt idx="1">
                  <c:v>567000</c:v>
                </c:pt>
                <c:pt idx="2">
                  <c:v>306000</c:v>
                </c:pt>
                <c:pt idx="3">
                  <c:v>49200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1-4C38-92CF-9E7229A21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3885680"/>
        <c:axId val="1913886160"/>
      </c:barChart>
      <c:catAx>
        <c:axId val="191388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86160"/>
        <c:crosses val="autoZero"/>
        <c:auto val="1"/>
        <c:lblAlgn val="ctr"/>
        <c:lblOffset val="100"/>
        <c:noMultiLvlLbl val="0"/>
      </c:catAx>
      <c:valAx>
        <c:axId val="191388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8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</a:t>
            </a:r>
            <a:r>
              <a:rPr lang="en-US" baseline="0"/>
              <a:t> Dispute Vol - Jan to Dec 2025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Trends'!$B$1</c:f>
              <c:strCache>
                <c:ptCount val="1"/>
                <c:pt idx="0">
                  <c:v> Disputes Filed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'Monthly Trends'!$A$2:$A$13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'Monthly Trends'!$B$2:$B$13</c:f>
              <c:numCache>
                <c:formatCode>General</c:formatCode>
                <c:ptCount val="12"/>
                <c:pt idx="0">
                  <c:v>3420</c:v>
                </c:pt>
                <c:pt idx="1">
                  <c:v>3180</c:v>
                </c:pt>
                <c:pt idx="2">
                  <c:v>3650</c:v>
                </c:pt>
                <c:pt idx="3">
                  <c:v>3890</c:v>
                </c:pt>
                <c:pt idx="4">
                  <c:v>3720</c:v>
                </c:pt>
                <c:pt idx="5">
                  <c:v>4100</c:v>
                </c:pt>
                <c:pt idx="6">
                  <c:v>4280</c:v>
                </c:pt>
                <c:pt idx="7">
                  <c:v>4150</c:v>
                </c:pt>
                <c:pt idx="8">
                  <c:v>3980</c:v>
                </c:pt>
                <c:pt idx="9">
                  <c:v>4320</c:v>
                </c:pt>
                <c:pt idx="10">
                  <c:v>4580</c:v>
                </c:pt>
                <c:pt idx="11">
                  <c:v>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C-419C-96D9-5D484A620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155792"/>
        <c:axId val="1129444464"/>
      </c:lineChart>
      <c:dateAx>
        <c:axId val="92915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444464"/>
        <c:crosses val="autoZero"/>
        <c:auto val="1"/>
        <c:lblOffset val="100"/>
        <c:baseTimeUnit val="months"/>
      </c:dateAx>
      <c:valAx>
        <c:axId val="11294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15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Satisfaction Score vs Industry Benchmark —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'Resolution Analysis'!$G$1</c:f>
              <c:strCache>
                <c:ptCount val="1"/>
                <c:pt idx="0">
                  <c:v>Satisfaction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'Resolution Analysis'!$F$2:$F$13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Analysis'!$G$2:$G$13</c:f>
              <c:numCache>
                <c:formatCode>General</c:formatCode>
                <c:ptCount val="12"/>
                <c:pt idx="0">
                  <c:v>34</c:v>
                </c:pt>
                <c:pt idx="1">
                  <c:v>36</c:v>
                </c:pt>
                <c:pt idx="2">
                  <c:v>35</c:v>
                </c:pt>
                <c:pt idx="3">
                  <c:v>33</c:v>
                </c:pt>
                <c:pt idx="4">
                  <c:v>34</c:v>
                </c:pt>
                <c:pt idx="5">
                  <c:v>32</c:v>
                </c:pt>
                <c:pt idx="6">
                  <c:v>31</c:v>
                </c:pt>
                <c:pt idx="7">
                  <c:v>33</c:v>
                </c:pt>
                <c:pt idx="8">
                  <c:v>34</c:v>
                </c:pt>
                <c:pt idx="9">
                  <c:v>32</c:v>
                </c:pt>
                <c:pt idx="10">
                  <c:v>30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6-4FA6-BB79-3849969525C5}"/>
            </c:ext>
          </c:extLst>
        </c:ser>
        <c:ser>
          <c:idx val="1"/>
          <c:order val="1"/>
          <c:tx>
            <c:strRef>
              <c:f>'Resolution Analysis'!$H$1</c:f>
              <c:strCache>
                <c:ptCount val="1"/>
                <c:pt idx="0">
                  <c:v>Industry 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'Resolution Analysis'!$F$2:$F$13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Analysis'!$H$2:$H$13</c:f>
              <c:numCache>
                <c:formatCode>General</c:formatCode>
                <c:ptCount val="12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6-4FA6-BB79-384996952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70736"/>
        <c:axId val="219671216"/>
      </c:lineChart>
      <c:dateAx>
        <c:axId val="21967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1216"/>
        <c:crosses val="autoZero"/>
        <c:auto val="1"/>
        <c:lblOffset val="100"/>
        <c:baseTimeUnit val="months"/>
      </c:dateAx>
      <c:valAx>
        <c:axId val="2196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Dispute Category Breakdown — Full Year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Trends'!$O$1</c:f>
              <c:strCache>
                <c:ptCount val="1"/>
                <c:pt idx="0">
                  <c:v>Total Volume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1A-49D4-B16F-AB3156ABE9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1A-49D4-B16F-AB3156ABE9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1A-49D4-B16F-AB3156ABE9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Trends'!$N$2:$N$4</c:f>
              <c:strCache>
                <c:ptCount val="3"/>
                <c:pt idx="0">
                  <c:v>Fraud</c:v>
                </c:pt>
                <c:pt idx="1">
                  <c:v>Billing Error</c:v>
                </c:pt>
                <c:pt idx="2">
                  <c:v>Service Dispute</c:v>
                </c:pt>
              </c:strCache>
            </c:strRef>
          </c:cat>
          <c:val>
            <c:numRef>
              <c:f>'Monthly Trends'!$O$2:$O$4</c:f>
              <c:numCache>
                <c:formatCode>#,##0</c:formatCode>
                <c:ptCount val="3"/>
                <c:pt idx="0">
                  <c:v>22650</c:v>
                </c:pt>
                <c:pt idx="1">
                  <c:v>16660</c:v>
                </c:pt>
                <c:pt idx="2">
                  <c:v>8710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1A-49D4-B16F-AB3156ABE9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Resolution Time vs FCAC 5-Day Target - 2025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'Resolution Analysis'!$B$1</c:f>
              <c:strCache>
                <c:ptCount val="1"/>
                <c:pt idx="0">
                  <c:v>Avg Resolution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'Resolution Analysis'!$A$2:$A$13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Analysis'!$B$2:$B$13</c:f>
              <c:numCache>
                <c:formatCode>General</c:formatCode>
                <c:ptCount val="12"/>
                <c:pt idx="0">
                  <c:v>15.2</c:v>
                </c:pt>
                <c:pt idx="1">
                  <c:v>14.8</c:v>
                </c:pt>
                <c:pt idx="2">
                  <c:v>14.5</c:v>
                </c:pt>
                <c:pt idx="3">
                  <c:v>14.9</c:v>
                </c:pt>
                <c:pt idx="4">
                  <c:v>15.1</c:v>
                </c:pt>
                <c:pt idx="5">
                  <c:v>14.7</c:v>
                </c:pt>
                <c:pt idx="6">
                  <c:v>15.3</c:v>
                </c:pt>
                <c:pt idx="7">
                  <c:v>14.6</c:v>
                </c:pt>
                <c:pt idx="8">
                  <c:v>14.8</c:v>
                </c:pt>
                <c:pt idx="9">
                  <c:v>15</c:v>
                </c:pt>
                <c:pt idx="10">
                  <c:v>15.4</c:v>
                </c:pt>
                <c:pt idx="11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7-478F-BF84-DA37257E4F35}"/>
            </c:ext>
          </c:extLst>
        </c:ser>
        <c:ser>
          <c:idx val="1"/>
          <c:order val="1"/>
          <c:tx>
            <c:strRef>
              <c:f>'Resolution Analysis'!$C$1</c:f>
              <c:strCache>
                <c:ptCount val="1"/>
                <c:pt idx="0">
                  <c:v>FCAC Target (5 Days)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'Resolution Analysis'!$A$2:$A$13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'Resolution Analysis'!$C$2:$C$13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87-478F-BF84-DA37257E4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78896"/>
        <c:axId val="219684656"/>
      </c:lineChart>
      <c:dateAx>
        <c:axId val="219678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84656"/>
        <c:crosses val="autoZero"/>
        <c:auto val="1"/>
        <c:lblOffset val="100"/>
        <c:baseTimeUnit val="months"/>
      </c:dateAx>
      <c:valAx>
        <c:axId val="21968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7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1</xdr:row>
      <xdr:rowOff>106362</xdr:rowOff>
    </xdr:from>
    <xdr:to>
      <xdr:col>11</xdr:col>
      <xdr:colOff>382587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C8ED4-48DB-C270-8D8B-2231D72C7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1</xdr:row>
      <xdr:rowOff>65087</xdr:rowOff>
    </xdr:from>
    <xdr:to>
      <xdr:col>19</xdr:col>
      <xdr:colOff>190500</xdr:colOff>
      <xdr:row>15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CE7A2-6D31-9165-AA2B-2D22A8EB9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304800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FE1575-32E8-4A1C-8455-B8918885F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104775</xdr:colOff>
      <xdr:row>0</xdr:row>
      <xdr:rowOff>255587</xdr:rowOff>
    </xdr:from>
    <xdr:to>
      <xdr:col>12</xdr:col>
      <xdr:colOff>409575</xdr:colOff>
      <xdr:row>13</xdr:row>
      <xdr:rowOff>1587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1E5AF6-E760-5D8C-113F-E0344FA37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22</xdr:row>
      <xdr:rowOff>198437</xdr:rowOff>
    </xdr:from>
    <xdr:to>
      <xdr:col>11</xdr:col>
      <xdr:colOff>190500</xdr:colOff>
      <xdr:row>25</xdr:row>
      <xdr:rowOff>506412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E05504-AB4E-6050-5DB6-0AA11F490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180974</xdr:rowOff>
    </xdr:from>
    <xdr:to>
      <xdr:col>2</xdr:col>
      <xdr:colOff>1012825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ECE251-4278-447B-83CA-DB62E0F0B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8</xdr:col>
      <xdr:colOff>1016000</xdr:colOff>
      <xdr:row>19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D6EF1D-E7C2-4910-AE9E-1FC58A667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</xdr:row>
      <xdr:rowOff>0</xdr:rowOff>
    </xdr:from>
    <xdr:to>
      <xdr:col>4</xdr:col>
      <xdr:colOff>1009650</xdr:colOff>
      <xdr:row>20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B25AA0-DDF3-41D7-8402-6758C1B65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6</xdr:col>
      <xdr:colOff>1016000</xdr:colOff>
      <xdr:row>20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88C9C2-DA09-4528-9794-C5D0C2B02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7A667-E4D9-4E1F-8CE1-86074C8F0B6E}" name="Table1" displayName="Table1" ref="A1:H14" totalsRowCount="1" headerRowDxfId="4" headerRowBorderDxfId="3" tableBorderDxfId="2">
  <autoFilter ref="A1:H13" xr:uid="{D117A667-E4D9-4E1F-8CE1-86074C8F0B6E}"/>
  <tableColumns count="8">
    <tableColumn id="1" xr3:uid="{F6633853-0CC7-42BE-98F1-A33E848CEADA}" name="Month " dataDxfId="1" totalsRowDxfId="0"/>
    <tableColumn id="2" xr3:uid="{9F728497-3608-41F2-B107-F16C7F7931E4}" name=" Disputes Filed " totalsRowFunction="custom">
      <totalsRowFormula>SUM(Table1[[ Disputes Filed ]])</totalsRowFormula>
    </tableColumn>
    <tableColumn id="3" xr3:uid="{04F079AC-1066-4C78-8680-A9E4F91FD5D8}" name=" Fraud " totalsRowFunction="custom">
      <totalsRowFormula>SUM(Table1[[ Fraud ]])</totalsRowFormula>
    </tableColumn>
    <tableColumn id="4" xr3:uid="{69F27689-9795-49E8-9F49-8B9A62F52769}" name=" Billing Error "/>
    <tableColumn id="5" xr3:uid="{86EB7600-2CFD-4723-98D8-77C42104CD71}" name=" Service Dispute "/>
    <tableColumn id="6" xr3:uid="{12944A37-5B8C-4071-A862-F9177CCC8E63}" name=" Resolved &lt;5 Days "/>
    <tableColumn id="7" xr3:uid="{05F5D46B-2DEC-4012-86EE-765F7D114564}" name=" Avg Resolution Days "/>
    <tableColumn id="8" xr3:uid="{2646319B-A003-439F-B068-C5CFF22B7FDC}" name=" Customer Satisfactio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1F68-5A16-4828-B6EC-DA47DDE6AEDB}">
  <dimension ref="A1:H14"/>
  <sheetViews>
    <sheetView workbookViewId="0">
      <selection activeCell="C16" sqref="C16"/>
    </sheetView>
  </sheetViews>
  <sheetFormatPr defaultRowHeight="14.75" x14ac:dyDescent="0.75"/>
  <cols>
    <col min="1" max="1" width="8.6796875" customWidth="1"/>
    <col min="2" max="2" width="15.1796875" customWidth="1"/>
    <col min="3" max="3" width="8.26953125" customWidth="1"/>
    <col min="4" max="4" width="13.31640625" customWidth="1"/>
    <col min="5" max="5" width="16.31640625" customWidth="1"/>
    <col min="6" max="6" width="18" customWidth="1"/>
    <col min="7" max="7" width="20.54296875" customWidth="1"/>
    <col min="8" max="8" width="23.2265625" customWidth="1"/>
  </cols>
  <sheetData>
    <row r="1" spans="1:8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75">
      <c r="A2" s="1">
        <v>45658</v>
      </c>
      <c r="B2">
        <v>3420</v>
      </c>
      <c r="C2">
        <v>1540</v>
      </c>
      <c r="D2">
        <v>1200</v>
      </c>
      <c r="E2">
        <v>680</v>
      </c>
      <c r="F2">
        <v>820</v>
      </c>
      <c r="G2">
        <v>15.2</v>
      </c>
      <c r="H2">
        <v>34</v>
      </c>
    </row>
    <row r="3" spans="1:8" x14ac:dyDescent="0.75">
      <c r="A3" s="1">
        <v>45689</v>
      </c>
      <c r="B3">
        <v>3180</v>
      </c>
      <c r="C3">
        <v>1420</v>
      </c>
      <c r="D3">
        <v>1100</v>
      </c>
      <c r="E3">
        <v>660</v>
      </c>
      <c r="F3">
        <v>790</v>
      </c>
      <c r="G3">
        <v>14.8</v>
      </c>
      <c r="H3">
        <v>36</v>
      </c>
    </row>
    <row r="4" spans="1:8" x14ac:dyDescent="0.75">
      <c r="A4" s="1">
        <v>45717</v>
      </c>
      <c r="B4">
        <v>3650</v>
      </c>
      <c r="C4">
        <v>1680</v>
      </c>
      <c r="D4">
        <v>1250</v>
      </c>
      <c r="E4">
        <v>720</v>
      </c>
      <c r="F4">
        <v>870</v>
      </c>
      <c r="G4">
        <v>14.5</v>
      </c>
      <c r="H4">
        <v>35</v>
      </c>
    </row>
    <row r="5" spans="1:8" x14ac:dyDescent="0.75">
      <c r="A5" s="1">
        <v>45748</v>
      </c>
      <c r="B5">
        <v>3890</v>
      </c>
      <c r="C5">
        <v>1820</v>
      </c>
      <c r="D5">
        <v>1350</v>
      </c>
      <c r="E5">
        <v>720</v>
      </c>
      <c r="F5">
        <v>910</v>
      </c>
      <c r="G5">
        <v>14.9</v>
      </c>
      <c r="H5">
        <v>33</v>
      </c>
    </row>
    <row r="6" spans="1:8" x14ac:dyDescent="0.75">
      <c r="A6" s="1">
        <v>45778</v>
      </c>
      <c r="B6">
        <v>3720</v>
      </c>
      <c r="C6">
        <v>1710</v>
      </c>
      <c r="D6">
        <v>1290</v>
      </c>
      <c r="E6">
        <v>720</v>
      </c>
      <c r="F6">
        <v>880</v>
      </c>
      <c r="G6">
        <v>15.1</v>
      </c>
      <c r="H6">
        <v>34</v>
      </c>
    </row>
    <row r="7" spans="1:8" x14ac:dyDescent="0.75">
      <c r="A7" s="1">
        <v>45809</v>
      </c>
      <c r="B7">
        <v>4100</v>
      </c>
      <c r="C7">
        <v>1950</v>
      </c>
      <c r="D7">
        <v>1420</v>
      </c>
      <c r="E7">
        <v>730</v>
      </c>
      <c r="F7">
        <v>940</v>
      </c>
      <c r="G7">
        <v>14.7</v>
      </c>
      <c r="H7">
        <v>32</v>
      </c>
    </row>
    <row r="8" spans="1:8" x14ac:dyDescent="0.75">
      <c r="A8" s="1">
        <v>45839</v>
      </c>
      <c r="B8">
        <v>4280</v>
      </c>
      <c r="C8">
        <v>2050</v>
      </c>
      <c r="D8">
        <v>1480</v>
      </c>
      <c r="E8">
        <v>750</v>
      </c>
      <c r="F8">
        <v>960</v>
      </c>
      <c r="G8">
        <v>15.3</v>
      </c>
      <c r="H8">
        <v>31</v>
      </c>
    </row>
    <row r="9" spans="1:8" x14ac:dyDescent="0.75">
      <c r="A9" s="1">
        <v>45870</v>
      </c>
      <c r="B9">
        <v>4150</v>
      </c>
      <c r="C9">
        <v>1980</v>
      </c>
      <c r="D9">
        <v>1430</v>
      </c>
      <c r="E9">
        <v>740</v>
      </c>
      <c r="F9">
        <v>950</v>
      </c>
      <c r="G9">
        <v>14.6</v>
      </c>
      <c r="H9">
        <v>33</v>
      </c>
    </row>
    <row r="10" spans="1:8" x14ac:dyDescent="0.75">
      <c r="A10" s="1">
        <v>45901</v>
      </c>
      <c r="B10">
        <v>3980</v>
      </c>
      <c r="C10">
        <v>1890</v>
      </c>
      <c r="D10">
        <v>1370</v>
      </c>
      <c r="E10">
        <v>720</v>
      </c>
      <c r="F10">
        <v>920</v>
      </c>
      <c r="G10">
        <v>14.8</v>
      </c>
      <c r="H10">
        <v>34</v>
      </c>
    </row>
    <row r="11" spans="1:8" x14ac:dyDescent="0.75">
      <c r="A11" s="1">
        <v>45931</v>
      </c>
      <c r="B11">
        <v>4320</v>
      </c>
      <c r="C11">
        <v>2090</v>
      </c>
      <c r="D11">
        <v>1490</v>
      </c>
      <c r="E11">
        <v>740</v>
      </c>
      <c r="F11">
        <v>970</v>
      </c>
      <c r="G11">
        <v>15</v>
      </c>
      <c r="H11">
        <v>32</v>
      </c>
    </row>
    <row r="12" spans="1:8" x14ac:dyDescent="0.75">
      <c r="A12" s="1">
        <v>45962</v>
      </c>
      <c r="B12">
        <v>4580</v>
      </c>
      <c r="C12">
        <v>2210</v>
      </c>
      <c r="D12">
        <v>1610</v>
      </c>
      <c r="E12">
        <v>760</v>
      </c>
      <c r="F12">
        <v>1020</v>
      </c>
      <c r="G12">
        <v>15.4</v>
      </c>
      <c r="H12">
        <v>30</v>
      </c>
    </row>
    <row r="13" spans="1:8" x14ac:dyDescent="0.75">
      <c r="A13" s="1">
        <v>45992</v>
      </c>
      <c r="B13">
        <v>4750</v>
      </c>
      <c r="C13">
        <v>2310</v>
      </c>
      <c r="D13">
        <v>1670</v>
      </c>
      <c r="E13">
        <v>770</v>
      </c>
      <c r="F13">
        <v>1050</v>
      </c>
      <c r="G13">
        <v>15.6</v>
      </c>
      <c r="H13">
        <v>29</v>
      </c>
    </row>
    <row r="14" spans="1:8" x14ac:dyDescent="0.75">
      <c r="A14" s="1"/>
      <c r="B14">
        <f>SUM(Table1[[ Disputes Filed ]])</f>
        <v>48020</v>
      </c>
      <c r="C14">
        <f>SUM(Table1[[ Fraud ]])</f>
        <v>22650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FADB-9798-493E-B9D3-A5F1348C3713}">
  <dimension ref="A1:P29"/>
  <sheetViews>
    <sheetView tabSelected="1" topLeftCell="G1" workbookViewId="0">
      <selection activeCell="T9" sqref="T9"/>
    </sheetView>
  </sheetViews>
  <sheetFormatPr defaultRowHeight="14.75" x14ac:dyDescent="0.75"/>
  <cols>
    <col min="1" max="1" width="8.6796875" customWidth="1"/>
    <col min="2" max="2" width="15.1796875" customWidth="1"/>
    <col min="14" max="14" width="12.58984375" customWidth="1"/>
  </cols>
  <sheetData>
    <row r="1" spans="1:16" x14ac:dyDescent="0.75">
      <c r="A1" s="2" t="s">
        <v>0</v>
      </c>
      <c r="B1" s="2" t="s">
        <v>1</v>
      </c>
      <c r="N1" t="s">
        <v>11</v>
      </c>
      <c r="O1" t="s">
        <v>12</v>
      </c>
      <c r="P1" t="s">
        <v>13</v>
      </c>
    </row>
    <row r="2" spans="1:16" x14ac:dyDescent="0.75">
      <c r="A2" s="1">
        <v>45658</v>
      </c>
      <c r="B2">
        <v>3420</v>
      </c>
      <c r="N2" t="s">
        <v>14</v>
      </c>
      <c r="O2" s="3">
        <f>SUM(Table1[[ Fraud ]])</f>
        <v>22650</v>
      </c>
      <c r="P2" s="4">
        <v>0.51400000000000001</v>
      </c>
    </row>
    <row r="3" spans="1:16" x14ac:dyDescent="0.75">
      <c r="A3" s="1">
        <v>45689</v>
      </c>
      <c r="B3">
        <v>3180</v>
      </c>
      <c r="N3" t="s">
        <v>15</v>
      </c>
      <c r="O3" s="3">
        <f>SUM(Table1[[ Billing Error ]])</f>
        <v>16660</v>
      </c>
      <c r="P3" s="4">
        <v>0.35499999999999998</v>
      </c>
    </row>
    <row r="4" spans="1:16" x14ac:dyDescent="0.75">
      <c r="A4" s="1">
        <v>45717</v>
      </c>
      <c r="B4">
        <v>3650</v>
      </c>
      <c r="N4" t="s">
        <v>16</v>
      </c>
      <c r="O4" s="3">
        <f>SUM('Raw Data'!E2:E13)</f>
        <v>8710</v>
      </c>
      <c r="P4" s="4">
        <v>0.19900000000000001</v>
      </c>
    </row>
    <row r="5" spans="1:16" x14ac:dyDescent="0.75">
      <c r="A5" s="1">
        <v>45748</v>
      </c>
      <c r="B5">
        <v>3890</v>
      </c>
    </row>
    <row r="6" spans="1:16" x14ac:dyDescent="0.75">
      <c r="A6" s="1">
        <v>45778</v>
      </c>
      <c r="B6">
        <v>3720</v>
      </c>
    </row>
    <row r="7" spans="1:16" x14ac:dyDescent="0.75">
      <c r="A7" s="1">
        <v>45809</v>
      </c>
      <c r="B7">
        <v>4100</v>
      </c>
    </row>
    <row r="8" spans="1:16" x14ac:dyDescent="0.75">
      <c r="A8" s="1">
        <v>45839</v>
      </c>
      <c r="B8">
        <v>4280</v>
      </c>
    </row>
    <row r="9" spans="1:16" x14ac:dyDescent="0.75">
      <c r="A9" s="1">
        <v>45870</v>
      </c>
      <c r="B9">
        <v>4150</v>
      </c>
    </row>
    <row r="10" spans="1:16" x14ac:dyDescent="0.75">
      <c r="A10" s="1">
        <v>45901</v>
      </c>
      <c r="B10">
        <v>3980</v>
      </c>
    </row>
    <row r="11" spans="1:16" x14ac:dyDescent="0.75">
      <c r="A11" s="1">
        <v>45931</v>
      </c>
      <c r="B11">
        <v>4320</v>
      </c>
    </row>
    <row r="12" spans="1:16" x14ac:dyDescent="0.75">
      <c r="A12" s="1">
        <v>45962</v>
      </c>
      <c r="B12">
        <v>4580</v>
      </c>
    </row>
    <row r="13" spans="1:16" x14ac:dyDescent="0.75">
      <c r="A13" s="1">
        <v>45992</v>
      </c>
      <c r="B13">
        <v>4750</v>
      </c>
    </row>
    <row r="20" spans="1:14" x14ac:dyDescent="0.75">
      <c r="N20" t="s">
        <v>17</v>
      </c>
    </row>
    <row r="21" spans="1:14" x14ac:dyDescent="0.75">
      <c r="N21" t="s">
        <v>18</v>
      </c>
    </row>
    <row r="22" spans="1:14" x14ac:dyDescent="0.75">
      <c r="N22" t="s">
        <v>19</v>
      </c>
    </row>
    <row r="27" spans="1:14" x14ac:dyDescent="0.75">
      <c r="A27" t="s">
        <v>8</v>
      </c>
    </row>
    <row r="28" spans="1:14" x14ac:dyDescent="0.75">
      <c r="A28" t="s">
        <v>9</v>
      </c>
    </row>
    <row r="29" spans="1:14" x14ac:dyDescent="0.75">
      <c r="A29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AE8E-6B9A-49EB-9CDC-906CF56AD58E}">
  <dimension ref="A1:J31"/>
  <sheetViews>
    <sheetView topLeftCell="A12" workbookViewId="0">
      <selection activeCell="J14" sqref="J14:J17"/>
    </sheetView>
  </sheetViews>
  <sheetFormatPr defaultRowHeight="14.75" x14ac:dyDescent="0.75"/>
  <sheetData>
    <row r="1" spans="1:10" ht="59" x14ac:dyDescent="0.75">
      <c r="A1" s="5" t="s">
        <v>20</v>
      </c>
      <c r="B1" s="5" t="s">
        <v>21</v>
      </c>
      <c r="C1" s="5" t="s">
        <v>22</v>
      </c>
      <c r="D1" s="5" t="s">
        <v>23</v>
      </c>
      <c r="F1" s="5" t="s">
        <v>20</v>
      </c>
      <c r="G1" s="5" t="s">
        <v>28</v>
      </c>
      <c r="H1" s="5" t="s">
        <v>29</v>
      </c>
    </row>
    <row r="2" spans="1:10" x14ac:dyDescent="0.75">
      <c r="A2" s="6">
        <v>45658</v>
      </c>
      <c r="B2" s="7">
        <v>15.2</v>
      </c>
      <c r="C2" s="7">
        <v>5</v>
      </c>
      <c r="D2" s="7">
        <v>10.199999999999999</v>
      </c>
      <c r="F2" s="6">
        <v>45658</v>
      </c>
      <c r="G2" s="7">
        <v>34</v>
      </c>
      <c r="H2" s="7">
        <v>72</v>
      </c>
    </row>
    <row r="3" spans="1:10" x14ac:dyDescent="0.75">
      <c r="A3" s="6">
        <v>45689</v>
      </c>
      <c r="B3" s="7">
        <v>14.8</v>
      </c>
      <c r="C3" s="7">
        <v>5</v>
      </c>
      <c r="D3" s="7">
        <v>9.8000000000000007</v>
      </c>
      <c r="F3" s="6">
        <v>45689</v>
      </c>
      <c r="G3" s="7">
        <v>36</v>
      </c>
      <c r="H3" s="7">
        <v>72</v>
      </c>
    </row>
    <row r="4" spans="1:10" x14ac:dyDescent="0.75">
      <c r="A4" s="6">
        <v>45717</v>
      </c>
      <c r="B4" s="7">
        <v>14.5</v>
      </c>
      <c r="C4" s="7">
        <v>5</v>
      </c>
      <c r="D4" s="7">
        <v>9.5</v>
      </c>
      <c r="F4" s="6">
        <v>45717</v>
      </c>
      <c r="G4" s="7">
        <v>35</v>
      </c>
      <c r="H4" s="7">
        <v>72</v>
      </c>
    </row>
    <row r="5" spans="1:10" x14ac:dyDescent="0.75">
      <c r="A5" s="6">
        <v>45748</v>
      </c>
      <c r="B5" s="7">
        <v>14.9</v>
      </c>
      <c r="C5" s="7">
        <v>5</v>
      </c>
      <c r="D5" s="7">
        <v>9.9</v>
      </c>
      <c r="F5" s="6">
        <v>45748</v>
      </c>
      <c r="G5" s="7">
        <v>33</v>
      </c>
      <c r="H5" s="7">
        <v>72</v>
      </c>
    </row>
    <row r="6" spans="1:10" x14ac:dyDescent="0.75">
      <c r="A6" s="6">
        <v>45778</v>
      </c>
      <c r="B6" s="7">
        <v>15.1</v>
      </c>
      <c r="C6" s="7">
        <v>5</v>
      </c>
      <c r="D6" s="7">
        <v>10.1</v>
      </c>
      <c r="F6" s="6">
        <v>45778</v>
      </c>
      <c r="G6" s="7">
        <v>34</v>
      </c>
      <c r="H6" s="7">
        <v>72</v>
      </c>
    </row>
    <row r="7" spans="1:10" x14ac:dyDescent="0.75">
      <c r="A7" s="6">
        <v>45809</v>
      </c>
      <c r="B7" s="7">
        <v>14.7</v>
      </c>
      <c r="C7" s="7">
        <v>5</v>
      </c>
      <c r="D7" s="7">
        <v>9.6999999999999993</v>
      </c>
      <c r="F7" s="6">
        <v>45809</v>
      </c>
      <c r="G7" s="7">
        <v>32</v>
      </c>
      <c r="H7" s="7">
        <v>72</v>
      </c>
    </row>
    <row r="8" spans="1:10" x14ac:dyDescent="0.75">
      <c r="A8" s="6">
        <v>45839</v>
      </c>
      <c r="B8" s="7">
        <v>15.3</v>
      </c>
      <c r="C8" s="7">
        <v>5</v>
      </c>
      <c r="D8" s="7">
        <v>10.3</v>
      </c>
      <c r="F8" s="6">
        <v>45839</v>
      </c>
      <c r="G8" s="7">
        <v>31</v>
      </c>
      <c r="H8" s="7">
        <v>72</v>
      </c>
    </row>
    <row r="9" spans="1:10" x14ac:dyDescent="0.75">
      <c r="A9" s="6">
        <v>45870</v>
      </c>
      <c r="B9" s="7">
        <v>14.6</v>
      </c>
      <c r="C9" s="7">
        <v>5</v>
      </c>
      <c r="D9" s="7">
        <v>9.6</v>
      </c>
      <c r="F9" s="6">
        <v>45870</v>
      </c>
      <c r="G9" s="7">
        <v>33</v>
      </c>
      <c r="H9" s="7">
        <v>72</v>
      </c>
    </row>
    <row r="10" spans="1:10" x14ac:dyDescent="0.75">
      <c r="A10" s="6">
        <v>45901</v>
      </c>
      <c r="B10" s="7">
        <v>14.8</v>
      </c>
      <c r="C10" s="7">
        <v>5</v>
      </c>
      <c r="D10" s="7">
        <v>9.8000000000000007</v>
      </c>
      <c r="F10" s="6">
        <v>45901</v>
      </c>
      <c r="G10" s="7">
        <v>34</v>
      </c>
      <c r="H10" s="7">
        <v>72</v>
      </c>
    </row>
    <row r="11" spans="1:10" x14ac:dyDescent="0.75">
      <c r="A11" s="6">
        <v>45931</v>
      </c>
      <c r="B11" s="7">
        <v>15</v>
      </c>
      <c r="C11" s="7">
        <v>5</v>
      </c>
      <c r="D11" s="7">
        <v>10</v>
      </c>
      <c r="F11" s="6">
        <v>45931</v>
      </c>
      <c r="G11" s="7">
        <v>32</v>
      </c>
      <c r="H11" s="7">
        <v>72</v>
      </c>
    </row>
    <row r="12" spans="1:10" x14ac:dyDescent="0.75">
      <c r="A12" s="6">
        <v>45962</v>
      </c>
      <c r="B12" s="7">
        <v>15.4</v>
      </c>
      <c r="C12" s="7">
        <v>5</v>
      </c>
      <c r="D12" s="7">
        <v>10.4</v>
      </c>
      <c r="F12" s="6">
        <v>45962</v>
      </c>
      <c r="G12" s="7">
        <v>30</v>
      </c>
      <c r="H12" s="7">
        <v>72</v>
      </c>
    </row>
    <row r="13" spans="1:10" x14ac:dyDescent="0.75">
      <c r="A13" s="6">
        <v>45992</v>
      </c>
      <c r="B13" s="7">
        <v>15.6</v>
      </c>
      <c r="C13" s="7">
        <v>5</v>
      </c>
      <c r="D13" s="7">
        <v>10.6</v>
      </c>
      <c r="F13" s="6">
        <v>45992</v>
      </c>
      <c r="G13" s="7">
        <v>29</v>
      </c>
      <c r="H13" s="7">
        <v>72</v>
      </c>
    </row>
    <row r="14" spans="1:10" x14ac:dyDescent="0.75">
      <c r="J14" t="s">
        <v>30</v>
      </c>
    </row>
    <row r="15" spans="1:10" x14ac:dyDescent="0.75">
      <c r="J15" t="s">
        <v>31</v>
      </c>
    </row>
    <row r="16" spans="1:10" x14ac:dyDescent="0.75">
      <c r="J16" t="s">
        <v>32</v>
      </c>
    </row>
    <row r="17" spans="1:10" x14ac:dyDescent="0.75">
      <c r="J17" t="s">
        <v>33</v>
      </c>
    </row>
    <row r="28" spans="1:10" x14ac:dyDescent="0.75">
      <c r="A28" t="s">
        <v>27</v>
      </c>
    </row>
    <row r="29" spans="1:10" x14ac:dyDescent="0.75">
      <c r="A29" t="s">
        <v>24</v>
      </c>
    </row>
    <row r="30" spans="1:10" x14ac:dyDescent="0.75">
      <c r="A30" t="s">
        <v>25</v>
      </c>
    </row>
    <row r="31" spans="1:10" x14ac:dyDescent="0.75">
      <c r="A31" t="s">
        <v>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A007-8DB7-4D34-8A66-9C1C7E7A2DE0}">
  <dimension ref="A1:G27"/>
  <sheetViews>
    <sheetView topLeftCell="A24" workbookViewId="0">
      <selection activeCell="A22" sqref="A22:C26"/>
    </sheetView>
  </sheetViews>
  <sheetFormatPr defaultRowHeight="14.75" x14ac:dyDescent="0.75"/>
  <sheetData>
    <row r="1" spans="1:7" x14ac:dyDescent="0.75">
      <c r="A1" t="s">
        <v>54</v>
      </c>
      <c r="G1" t="s">
        <v>93</v>
      </c>
    </row>
    <row r="2" spans="1:7" ht="44.25" x14ac:dyDescent="0.75">
      <c r="A2" s="5" t="s">
        <v>34</v>
      </c>
      <c r="B2" s="5" t="s">
        <v>35</v>
      </c>
      <c r="C2" s="5" t="s">
        <v>36</v>
      </c>
      <c r="G2" t="s">
        <v>87</v>
      </c>
    </row>
    <row r="3" spans="1:7" ht="103.25" x14ac:dyDescent="0.75">
      <c r="A3" s="7" t="s">
        <v>37</v>
      </c>
      <c r="B3" s="7" t="s">
        <v>38</v>
      </c>
      <c r="C3" s="7" t="s">
        <v>39</v>
      </c>
      <c r="G3" t="s">
        <v>88</v>
      </c>
    </row>
    <row r="4" spans="1:7" ht="88.5" x14ac:dyDescent="0.75">
      <c r="A4" s="7" t="s">
        <v>40</v>
      </c>
      <c r="B4" s="7" t="s">
        <v>41</v>
      </c>
      <c r="C4" s="7" t="s">
        <v>42</v>
      </c>
      <c r="G4" t="s">
        <v>89</v>
      </c>
    </row>
    <row r="5" spans="1:7" ht="73.75" x14ac:dyDescent="0.75">
      <c r="A5" s="7" t="s">
        <v>43</v>
      </c>
      <c r="B5" s="7" t="s">
        <v>44</v>
      </c>
      <c r="C5" s="7" t="s">
        <v>45</v>
      </c>
      <c r="G5" t="s">
        <v>90</v>
      </c>
    </row>
    <row r="6" spans="1:7" ht="103.25" x14ac:dyDescent="0.75">
      <c r="A6" s="7" t="s">
        <v>46</v>
      </c>
      <c r="B6" s="7" t="s">
        <v>47</v>
      </c>
      <c r="C6" s="7" t="s">
        <v>48</v>
      </c>
      <c r="G6" t="s">
        <v>91</v>
      </c>
    </row>
    <row r="7" spans="1:7" ht="103.25" x14ac:dyDescent="0.75">
      <c r="A7" s="7" t="s">
        <v>49</v>
      </c>
      <c r="B7" s="7" t="s">
        <v>50</v>
      </c>
      <c r="C7" s="7" t="s">
        <v>51</v>
      </c>
      <c r="G7" t="s">
        <v>92</v>
      </c>
    </row>
    <row r="8" spans="1:7" ht="59" x14ac:dyDescent="0.75">
      <c r="A8" s="8" t="s">
        <v>52</v>
      </c>
      <c r="B8" s="7"/>
      <c r="C8" s="8" t="s">
        <v>53</v>
      </c>
    </row>
    <row r="10" spans="1:7" x14ac:dyDescent="0.75">
      <c r="A10" t="s">
        <v>55</v>
      </c>
    </row>
    <row r="11" spans="1:7" ht="29.5" x14ac:dyDescent="0.75">
      <c r="A11" s="5" t="s">
        <v>56</v>
      </c>
      <c r="B11" s="5" t="s">
        <v>57</v>
      </c>
    </row>
    <row r="12" spans="1:7" ht="73.75" x14ac:dyDescent="0.75">
      <c r="A12" s="7" t="s">
        <v>58</v>
      </c>
      <c r="B12" s="7" t="s">
        <v>59</v>
      </c>
    </row>
    <row r="13" spans="1:7" ht="59" x14ac:dyDescent="0.75">
      <c r="A13" s="7" t="s">
        <v>60</v>
      </c>
      <c r="B13" s="7" t="s">
        <v>61</v>
      </c>
    </row>
    <row r="14" spans="1:7" ht="73.75" x14ac:dyDescent="0.75">
      <c r="A14" s="7" t="s">
        <v>62</v>
      </c>
      <c r="B14" s="7" t="s">
        <v>63</v>
      </c>
    </row>
    <row r="15" spans="1:7" ht="44.25" x14ac:dyDescent="0.75">
      <c r="A15" s="7" t="s">
        <v>64</v>
      </c>
      <c r="B15" s="7" t="s">
        <v>65</v>
      </c>
    </row>
    <row r="16" spans="1:7" ht="44.25" x14ac:dyDescent="0.75">
      <c r="A16" s="7" t="s">
        <v>66</v>
      </c>
      <c r="B16" s="7" t="s">
        <v>67</v>
      </c>
    </row>
    <row r="17" spans="1:3" ht="59" x14ac:dyDescent="0.75">
      <c r="A17" s="7" t="s">
        <v>68</v>
      </c>
      <c r="B17" s="7" t="s">
        <v>69</v>
      </c>
    </row>
    <row r="18" spans="1:3" ht="29.5" x14ac:dyDescent="0.75">
      <c r="A18" s="7" t="s">
        <v>70</v>
      </c>
      <c r="B18" s="7" t="s">
        <v>71</v>
      </c>
    </row>
    <row r="19" spans="1:3" ht="59" x14ac:dyDescent="0.75">
      <c r="A19" s="8" t="s">
        <v>72</v>
      </c>
      <c r="B19" s="8" t="s">
        <v>73</v>
      </c>
    </row>
    <row r="21" spans="1:3" x14ac:dyDescent="0.75">
      <c r="A21" t="s">
        <v>74</v>
      </c>
    </row>
    <row r="22" spans="1:3" ht="44.25" x14ac:dyDescent="0.75">
      <c r="A22" s="5" t="s">
        <v>75</v>
      </c>
      <c r="B22" s="5" t="s">
        <v>35</v>
      </c>
      <c r="C22" s="5" t="s">
        <v>76</v>
      </c>
    </row>
    <row r="23" spans="1:3" ht="59" x14ac:dyDescent="0.75">
      <c r="A23" s="7" t="s">
        <v>77</v>
      </c>
      <c r="B23" s="7" t="s">
        <v>78</v>
      </c>
      <c r="C23" s="7">
        <v>1864800</v>
      </c>
    </row>
    <row r="24" spans="1:3" ht="59" x14ac:dyDescent="0.75">
      <c r="A24" s="7" t="s">
        <v>79</v>
      </c>
      <c r="B24" s="7" t="s">
        <v>80</v>
      </c>
      <c r="C24" s="7">
        <v>567000</v>
      </c>
    </row>
    <row r="25" spans="1:3" ht="73.75" x14ac:dyDescent="0.75">
      <c r="A25" s="7" t="s">
        <v>81</v>
      </c>
      <c r="B25" s="7" t="s">
        <v>82</v>
      </c>
      <c r="C25" s="7">
        <v>306000</v>
      </c>
    </row>
    <row r="26" spans="1:3" ht="73.75" x14ac:dyDescent="0.75">
      <c r="A26" s="7" t="s">
        <v>83</v>
      </c>
      <c r="B26" s="7" t="s">
        <v>84</v>
      </c>
      <c r="C26" s="7">
        <v>49200</v>
      </c>
    </row>
    <row r="27" spans="1:3" ht="44.25" x14ac:dyDescent="0.75">
      <c r="A27" s="8" t="s">
        <v>85</v>
      </c>
      <c r="C27" s="8" t="s">
        <v>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A8E8-A407-4483-A011-A016ADAA63FA}">
  <dimension ref="A1:I6"/>
  <sheetViews>
    <sheetView workbookViewId="0">
      <selection activeCell="H5" sqref="H5"/>
    </sheetView>
  </sheetViews>
  <sheetFormatPr defaultRowHeight="14.75" x14ac:dyDescent="0.75"/>
  <cols>
    <col min="2" max="9" width="14.6796875" customWidth="1"/>
  </cols>
  <sheetData>
    <row r="1" spans="1:9" ht="21" x14ac:dyDescent="1">
      <c r="A1" s="9" t="s">
        <v>94</v>
      </c>
    </row>
    <row r="2" spans="1:9" x14ac:dyDescent="0.75">
      <c r="A2" t="s">
        <v>95</v>
      </c>
    </row>
    <row r="4" spans="1:9" x14ac:dyDescent="0.75">
      <c r="B4" s="14" t="s">
        <v>101</v>
      </c>
      <c r="C4" s="10"/>
      <c r="D4" s="12" t="s">
        <v>102</v>
      </c>
      <c r="E4" s="12"/>
      <c r="F4" s="17" t="s">
        <v>103</v>
      </c>
      <c r="G4" s="17"/>
      <c r="H4" s="15" t="s">
        <v>104</v>
      </c>
      <c r="I4" s="15"/>
    </row>
    <row r="5" spans="1:9" ht="23.5" x14ac:dyDescent="1.1000000000000001">
      <c r="B5" s="11">
        <v>45820</v>
      </c>
      <c r="C5" s="10"/>
      <c r="D5" s="13" t="s">
        <v>97</v>
      </c>
      <c r="E5" s="12"/>
      <c r="F5" s="18">
        <v>0</v>
      </c>
      <c r="G5" s="17"/>
      <c r="H5" s="16">
        <v>0.32</v>
      </c>
      <c r="I5" s="15"/>
    </row>
    <row r="6" spans="1:9" x14ac:dyDescent="0.75">
      <c r="B6" s="10" t="s">
        <v>96</v>
      </c>
      <c r="C6" s="10"/>
      <c r="D6" s="12" t="s">
        <v>98</v>
      </c>
      <c r="E6" s="12"/>
      <c r="F6" s="17" t="s">
        <v>99</v>
      </c>
      <c r="G6" s="17"/>
      <c r="H6" s="15" t="s">
        <v>100</v>
      </c>
      <c r="I6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Monthly Trends</vt:lpstr>
      <vt:lpstr>Resolution Analysis</vt:lpstr>
      <vt:lpstr>Cost Benefit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Narang</dc:creator>
  <cp:lastModifiedBy>Dhruv Narang</cp:lastModifiedBy>
  <dcterms:created xsi:type="dcterms:W3CDTF">2026-04-11T06:57:22Z</dcterms:created>
  <dcterms:modified xsi:type="dcterms:W3CDTF">2026-04-14T05:06:28Z</dcterms:modified>
</cp:coreProperties>
</file>